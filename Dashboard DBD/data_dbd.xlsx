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c902f487d555a9/ドキュメント/"/>
    </mc:Choice>
  </mc:AlternateContent>
  <xr:revisionPtr revIDLastSave="0" documentId="8_{963E15D5-EECE-47DD-A831-003FB961B20D}" xr6:coauthVersionLast="47" xr6:coauthVersionMax="47" xr10:uidLastSave="{00000000-0000-0000-0000-000000000000}"/>
  <bookViews>
    <workbookView xWindow="-110" yWindow="-110" windowWidth="19420" windowHeight="10300" xr2:uid="{6EF4360F-82BC-491C-A9C0-26E017E289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sharedStrings.xml><?xml version="1.0" encoding="utf-8"?>
<sst xmlns="http://schemas.openxmlformats.org/spreadsheetml/2006/main" count="97" uniqueCount="23">
  <si>
    <t>NO</t>
  </si>
  <si>
    <t>KODE WILAYAH</t>
  </si>
  <si>
    <t>NAMA KECAMATAN</t>
  </si>
  <si>
    <t>JUMLAH PENDUDUK</t>
  </si>
  <si>
    <t>JUMLAH KASUS DBD</t>
  </si>
  <si>
    <t>JUMLAH KEMATIAN DBD</t>
  </si>
  <si>
    <t>SATUAN</t>
  </si>
  <si>
    <t>ANGKA KESAKITAN DBD Per 100.000 Pddk</t>
  </si>
  <si>
    <t>ANGKA KEMATIAN DBD
CFR (%)</t>
  </si>
  <si>
    <t>TAHUN</t>
  </si>
  <si>
    <t>52.72.01</t>
  </si>
  <si>
    <t>RASANAE BARAT</t>
  </si>
  <si>
    <t>KASUS</t>
  </si>
  <si>
    <t>52.72.02</t>
  </si>
  <si>
    <t>RASANAE TIMUR</t>
  </si>
  <si>
    <t>52.72.03</t>
  </si>
  <si>
    <t>ASAKOTA</t>
  </si>
  <si>
    <t>52.72.04</t>
  </si>
  <si>
    <t>RABA</t>
  </si>
  <si>
    <t>52.72.05</t>
  </si>
  <si>
    <t>MPUNDA</t>
  </si>
  <si>
    <t>Sumber : Bidang P2PL, Dinas Kesehatan Kota Bima</t>
  </si>
  <si>
    <t>JUMLAH KASUS DEMAM BERDARAH (DBD) DI KOTA BIMA, DIRINCI PER KECAMATAN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</si>
</sst>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rial"/>
      <family val="2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1" fontId="6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3" fontId="5" fillId="0" borderId="4" xfId="0" applyNumberFormat="1" applyFont="1" applyBorder="1" applyAlignment="1">
      <alignment horizontal="center" vertical="center"/>
    </xf>
    <xf numFmtId="3" fontId="5" fillId="0" borderId="4" xfId="1" applyNumberFormat="1" applyFont="1" applyFill="1" applyBorder="1" applyAlignment="1" applyProtection="1">
      <alignment horizontal="center" vertical="center"/>
    </xf>
    <xf numFmtId="4" fontId="5" fillId="0" borderId="4" xfId="1" applyNumberFormat="1" applyFont="1" applyFill="1" applyBorder="1" applyAlignment="1" applyProtection="1">
      <alignment horizontal="center" vertical="center"/>
    </xf>
    <xf numFmtId="0" fontId="5" fillId="0" borderId="5" xfId="0" applyFont="1" applyBorder="1" applyAlignment="1">
      <alignment horizontal="center" vertical="center"/>
    </xf>
    <xf numFmtId="4" fontId="5" fillId="0" borderId="6" xfId="1" applyNumberFormat="1" applyFont="1" applyFill="1" applyBorder="1" applyAlignment="1" applyProtection="1">
      <alignment horizontal="center" vertical="center"/>
    </xf>
    <xf numFmtId="3" fontId="5" fillId="0" borderId="4" xfId="1" applyNumberFormat="1" applyFont="1" applyFill="1" applyBorder="1" applyAlignment="1" applyProtection="1">
      <alignment horizontal="center" vertical="center"/>
      <protection locked="0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3" fontId="5" fillId="0" borderId="7" xfId="1" applyNumberFormat="1" applyFont="1" applyFill="1" applyBorder="1" applyAlignment="1" applyProtection="1">
      <alignment horizontal="center" vertical="center"/>
      <protection locked="0"/>
    </xf>
    <xf numFmtId="3" fontId="5" fillId="0" borderId="7" xfId="1" applyNumberFormat="1" applyFont="1" applyFill="1" applyBorder="1" applyAlignment="1" applyProtection="1">
      <alignment horizontal="center" vertical="center"/>
    </xf>
    <xf numFmtId="4" fontId="5" fillId="0" borderId="7" xfId="1" applyNumberFormat="1" applyFont="1" applyFill="1" applyBorder="1" applyAlignment="1" applyProtection="1">
      <alignment horizontal="center" vertical="center"/>
    </xf>
    <xf numFmtId="4" fontId="5" fillId="0" borderId="8" xfId="1" applyNumberFormat="1" applyFont="1" applyFill="1" applyBorder="1" applyAlignment="1" applyProtection="1">
      <alignment horizontal="center" vertical="center"/>
    </xf>
    <xf numFmtId="0" fontId="7" fillId="0" borderId="0" xfId="0" applyFont="1" applyAlignment="1">
      <alignment vertical="top"/>
    </xf>
    <xf numFmtId="0" fontId="5" fillId="0" borderId="0" xfId="0" applyFont="1" applyAlignment="1">
      <alignment horizontal="left" vertical="center"/>
    </xf>
    <xf numFmtId="3" fontId="5" fillId="0" borderId="0" xfId="1" applyNumberFormat="1" applyFont="1" applyFill="1" applyBorder="1" applyAlignment="1" applyProtection="1">
      <alignment horizontal="center" vertical="center"/>
      <protection locked="0"/>
    </xf>
    <xf numFmtId="3" fontId="5" fillId="0" borderId="0" xfId="1" applyNumberFormat="1" applyFont="1" applyFill="1" applyBorder="1" applyAlignment="1" applyProtection="1">
      <alignment horizontal="center" vertical="center"/>
    </xf>
    <xf numFmtId="4" fontId="5" fillId="0" borderId="0" xfId="1" applyNumberFormat="1" applyFont="1" applyFill="1" applyBorder="1" applyAlignment="1" applyProtection="1">
      <alignment horizontal="center" vertical="center"/>
    </xf>
  </cellXfs>
  <cellStyles count="2">
    <cellStyle name="Comma [0] 2" xfId="1" xr:uid="{255A4856-2E3F-4F0F-A221-61FC5AB28A3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FC09E-BD96-401A-82D0-23EEC661D8FF}">
  <dimension ref="A1:J39"/>
  <sheetViews>
    <sheetView tabSelected="1" topLeftCell="A22" workbookViewId="0">
      <selection activeCell="A3" sqref="A3:J38"/>
    </sheetView>
  </sheetViews>
  <sheetFormatPr defaultRowHeight="14.5" x14ac:dyDescent="0.35"/>
  <sheetData>
    <row r="1" spans="1:10" x14ac:dyDescent="0.35">
      <c r="A1" s="1" t="s">
        <v>22</v>
      </c>
      <c r="B1" s="1"/>
      <c r="C1" s="2"/>
      <c r="D1" s="2"/>
      <c r="E1" s="2"/>
      <c r="F1" s="2"/>
      <c r="G1" s="2"/>
      <c r="H1" s="2"/>
      <c r="I1" s="2"/>
    </row>
    <row r="2" spans="1:10" x14ac:dyDescent="0.35">
      <c r="A2" s="2"/>
      <c r="B2" s="2"/>
      <c r="C2" s="2"/>
      <c r="D2" s="2"/>
      <c r="E2" s="2"/>
      <c r="F2" s="3"/>
      <c r="G2" s="3"/>
      <c r="H2" s="3"/>
      <c r="I2" s="2"/>
    </row>
    <row r="3" spans="1:10" ht="65.5" thickBot="1" x14ac:dyDescent="0.4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6" t="s">
        <v>9</v>
      </c>
    </row>
    <row r="4" spans="1:10" ht="15" thickTop="1" x14ac:dyDescent="0.35">
      <c r="A4" s="7">
        <v>1</v>
      </c>
      <c r="B4" s="8" t="s">
        <v>10</v>
      </c>
      <c r="C4" s="9" t="s">
        <v>11</v>
      </c>
      <c r="D4" s="10">
        <v>29721</v>
      </c>
      <c r="E4" s="8">
        <v>8</v>
      </c>
      <c r="F4" s="11">
        <v>0</v>
      </c>
      <c r="G4" s="11" t="s">
        <v>12</v>
      </c>
      <c r="H4" s="12">
        <f t="shared" ref="H4:H8" si="0">IF(OR(SUM(E4)=0,SUM(D4)=0),0,E4/D4*100000)</f>
        <v>26.91699471753979</v>
      </c>
      <c r="I4" s="12">
        <f t="shared" ref="I4:I13" si="1">IF(OR(SUM(E4)=0,SUM(F4)=0),0,F4/E4*100)</f>
        <v>0</v>
      </c>
      <c r="J4" s="13">
        <v>2018</v>
      </c>
    </row>
    <row r="5" spans="1:10" x14ac:dyDescent="0.35">
      <c r="A5" s="7">
        <v>2</v>
      </c>
      <c r="B5" s="8" t="s">
        <v>13</v>
      </c>
      <c r="C5" s="9" t="s">
        <v>14</v>
      </c>
      <c r="D5" s="10">
        <v>17953</v>
      </c>
      <c r="E5" s="8">
        <v>4</v>
      </c>
      <c r="F5" s="11">
        <v>0</v>
      </c>
      <c r="G5" s="11" t="s">
        <v>12</v>
      </c>
      <c r="H5" s="12">
        <f t="shared" si="0"/>
        <v>22.280398819138863</v>
      </c>
      <c r="I5" s="12">
        <f t="shared" si="1"/>
        <v>0</v>
      </c>
      <c r="J5" s="13">
        <v>2018</v>
      </c>
    </row>
    <row r="6" spans="1:10" x14ac:dyDescent="0.35">
      <c r="A6" s="7">
        <v>3</v>
      </c>
      <c r="B6" s="8" t="s">
        <v>15</v>
      </c>
      <c r="C6" s="9" t="s">
        <v>16</v>
      </c>
      <c r="D6" s="10">
        <v>30855</v>
      </c>
      <c r="E6" s="8">
        <v>3</v>
      </c>
      <c r="F6" s="11">
        <v>0</v>
      </c>
      <c r="G6" s="11" t="s">
        <v>12</v>
      </c>
      <c r="H6" s="12">
        <f t="shared" si="0"/>
        <v>9.7228974234321814</v>
      </c>
      <c r="I6" s="12">
        <f t="shared" si="1"/>
        <v>0</v>
      </c>
      <c r="J6" s="13">
        <v>2018</v>
      </c>
    </row>
    <row r="7" spans="1:10" x14ac:dyDescent="0.35">
      <c r="A7" s="7">
        <v>4</v>
      </c>
      <c r="B7" s="8" t="s">
        <v>17</v>
      </c>
      <c r="C7" s="9" t="s">
        <v>18</v>
      </c>
      <c r="D7" s="10">
        <v>37502</v>
      </c>
      <c r="E7" s="8">
        <v>11</v>
      </c>
      <c r="F7" s="11">
        <v>0</v>
      </c>
      <c r="G7" s="11" t="s">
        <v>12</v>
      </c>
      <c r="H7" s="12">
        <f t="shared" si="0"/>
        <v>29.331768972321477</v>
      </c>
      <c r="I7" s="12">
        <f t="shared" si="1"/>
        <v>0</v>
      </c>
      <c r="J7" s="13">
        <v>2018</v>
      </c>
    </row>
    <row r="8" spans="1:10" x14ac:dyDescent="0.35">
      <c r="A8" s="7">
        <v>5</v>
      </c>
      <c r="B8" s="8" t="s">
        <v>19</v>
      </c>
      <c r="C8" s="9" t="s">
        <v>20</v>
      </c>
      <c r="D8" s="10">
        <v>30928</v>
      </c>
      <c r="E8" s="8">
        <v>10</v>
      </c>
      <c r="F8" s="11">
        <v>0</v>
      </c>
      <c r="G8" s="11" t="s">
        <v>12</v>
      </c>
      <c r="H8" s="12">
        <f t="shared" si="0"/>
        <v>32.333160889808589</v>
      </c>
      <c r="I8" s="14">
        <f t="shared" si="1"/>
        <v>0</v>
      </c>
      <c r="J8" s="8">
        <v>2018</v>
      </c>
    </row>
    <row r="9" spans="1:10" x14ac:dyDescent="0.35">
      <c r="A9" s="7">
        <v>6</v>
      </c>
      <c r="B9" s="8" t="s">
        <v>10</v>
      </c>
      <c r="C9" s="9" t="s">
        <v>11</v>
      </c>
      <c r="D9" s="10">
        <v>29701</v>
      </c>
      <c r="E9" s="8">
        <v>17</v>
      </c>
      <c r="F9" s="11">
        <v>1</v>
      </c>
      <c r="G9" s="11" t="s">
        <v>12</v>
      </c>
      <c r="H9" s="11">
        <f t="shared" ref="H9:H13" si="2">IF(OR(SUM(E9)=0,SUM(D9)=0),0,E9/D9*100000)</f>
        <v>57.237130062960844</v>
      </c>
      <c r="I9" s="14">
        <f t="shared" si="1"/>
        <v>5.8823529411764701</v>
      </c>
      <c r="J9" s="8">
        <v>2019</v>
      </c>
    </row>
    <row r="10" spans="1:10" x14ac:dyDescent="0.35">
      <c r="A10" s="7">
        <v>7</v>
      </c>
      <c r="B10" s="8" t="s">
        <v>13</v>
      </c>
      <c r="C10" s="9" t="s">
        <v>14</v>
      </c>
      <c r="D10" s="10">
        <v>18225</v>
      </c>
      <c r="E10" s="8">
        <v>9</v>
      </c>
      <c r="F10" s="11">
        <v>0</v>
      </c>
      <c r="G10" s="11" t="s">
        <v>12</v>
      </c>
      <c r="H10" s="11">
        <f t="shared" si="2"/>
        <v>49.382716049382715</v>
      </c>
      <c r="I10" s="14">
        <f t="shared" si="1"/>
        <v>0</v>
      </c>
      <c r="J10" s="8">
        <v>2019</v>
      </c>
    </row>
    <row r="11" spans="1:10" x14ac:dyDescent="0.35">
      <c r="A11" s="7">
        <v>8</v>
      </c>
      <c r="B11" s="8" t="s">
        <v>15</v>
      </c>
      <c r="C11" s="9" t="s">
        <v>16</v>
      </c>
      <c r="D11" s="10">
        <v>32244</v>
      </c>
      <c r="E11" s="8">
        <v>12</v>
      </c>
      <c r="F11" s="11">
        <v>0</v>
      </c>
      <c r="G11" s="11" t="s">
        <v>12</v>
      </c>
      <c r="H11" s="11">
        <f t="shared" si="2"/>
        <v>37.216226274655753</v>
      </c>
      <c r="I11" s="14">
        <f t="shared" si="1"/>
        <v>0</v>
      </c>
      <c r="J11" s="8">
        <v>2019</v>
      </c>
    </row>
    <row r="12" spans="1:10" x14ac:dyDescent="0.35">
      <c r="A12" s="7">
        <v>9</v>
      </c>
      <c r="B12" s="8" t="s">
        <v>17</v>
      </c>
      <c r="C12" s="9" t="s">
        <v>18</v>
      </c>
      <c r="D12" s="10">
        <v>37919</v>
      </c>
      <c r="E12" s="8">
        <v>31</v>
      </c>
      <c r="F12" s="11">
        <v>2</v>
      </c>
      <c r="G12" s="11" t="s">
        <v>12</v>
      </c>
      <c r="H12" s="11">
        <f t="shared" si="2"/>
        <v>81.753210791423825</v>
      </c>
      <c r="I12" s="14">
        <f t="shared" si="1"/>
        <v>6.4516129032258061</v>
      </c>
      <c r="J12" s="8">
        <v>2019</v>
      </c>
    </row>
    <row r="13" spans="1:10" x14ac:dyDescent="0.35">
      <c r="A13" s="7">
        <v>10</v>
      </c>
      <c r="B13" s="8" t="s">
        <v>19</v>
      </c>
      <c r="C13" s="9" t="s">
        <v>20</v>
      </c>
      <c r="D13" s="10">
        <v>31409</v>
      </c>
      <c r="E13" s="8">
        <v>75</v>
      </c>
      <c r="F13" s="11">
        <v>2</v>
      </c>
      <c r="G13" s="11" t="s">
        <v>12</v>
      </c>
      <c r="H13" s="11">
        <f t="shared" si="2"/>
        <v>238.7850616065459</v>
      </c>
      <c r="I13" s="14">
        <f t="shared" si="1"/>
        <v>2.666666666666667</v>
      </c>
      <c r="J13" s="8">
        <v>2019</v>
      </c>
    </row>
    <row r="14" spans="1:10" x14ac:dyDescent="0.35">
      <c r="A14" s="7">
        <v>11</v>
      </c>
      <c r="B14" s="8" t="s">
        <v>10</v>
      </c>
      <c r="C14" s="9" t="s">
        <v>11</v>
      </c>
      <c r="D14" s="10">
        <v>30144</v>
      </c>
      <c r="E14" s="8">
        <v>25</v>
      </c>
      <c r="F14" s="11">
        <v>2</v>
      </c>
      <c r="G14" s="11" t="s">
        <v>12</v>
      </c>
      <c r="H14" s="11">
        <v>82.93524416135881</v>
      </c>
      <c r="I14" s="14">
        <v>8</v>
      </c>
      <c r="J14" s="8">
        <v>2020</v>
      </c>
    </row>
    <row r="15" spans="1:10" x14ac:dyDescent="0.35">
      <c r="A15" s="7">
        <v>12</v>
      </c>
      <c r="B15" s="8" t="s">
        <v>13</v>
      </c>
      <c r="C15" s="9" t="s">
        <v>14</v>
      </c>
      <c r="D15" s="10">
        <v>18614</v>
      </c>
      <c r="E15" s="8">
        <v>12</v>
      </c>
      <c r="F15" s="11">
        <v>0</v>
      </c>
      <c r="G15" s="11" t="s">
        <v>12</v>
      </c>
      <c r="H15" s="11">
        <v>64.467605028473201</v>
      </c>
      <c r="I15" s="14">
        <v>0</v>
      </c>
      <c r="J15" s="8">
        <v>2020</v>
      </c>
    </row>
    <row r="16" spans="1:10" x14ac:dyDescent="0.35">
      <c r="A16" s="7">
        <v>13</v>
      </c>
      <c r="B16" s="8" t="s">
        <v>15</v>
      </c>
      <c r="C16" s="9" t="s">
        <v>16</v>
      </c>
      <c r="D16" s="10">
        <v>33406</v>
      </c>
      <c r="E16" s="8">
        <v>136</v>
      </c>
      <c r="F16" s="11">
        <v>2</v>
      </c>
      <c r="G16" s="11" t="s">
        <v>12</v>
      </c>
      <c r="H16" s="11">
        <v>407.11249476142012</v>
      </c>
      <c r="I16" s="14">
        <v>1.4705882352941175</v>
      </c>
      <c r="J16" s="8">
        <v>2020</v>
      </c>
    </row>
    <row r="17" spans="1:10" x14ac:dyDescent="0.35">
      <c r="A17" s="7">
        <v>14</v>
      </c>
      <c r="B17" s="8" t="s">
        <v>17</v>
      </c>
      <c r="C17" s="9" t="s">
        <v>18</v>
      </c>
      <c r="D17" s="10">
        <v>38663</v>
      </c>
      <c r="E17" s="8">
        <v>37</v>
      </c>
      <c r="F17" s="11">
        <v>2</v>
      </c>
      <c r="G17" s="11" t="s">
        <v>12</v>
      </c>
      <c r="H17" s="11">
        <v>95.698730051987681</v>
      </c>
      <c r="I17" s="14">
        <v>5.4054054054054053</v>
      </c>
      <c r="J17" s="8">
        <v>2020</v>
      </c>
    </row>
    <row r="18" spans="1:10" x14ac:dyDescent="0.35">
      <c r="A18" s="7">
        <v>15</v>
      </c>
      <c r="B18" s="8" t="s">
        <v>19</v>
      </c>
      <c r="C18" s="9" t="s">
        <v>20</v>
      </c>
      <c r="D18" s="10">
        <v>32114</v>
      </c>
      <c r="E18" s="8">
        <v>43</v>
      </c>
      <c r="F18" s="11">
        <v>0</v>
      </c>
      <c r="G18" s="11" t="s">
        <v>12</v>
      </c>
      <c r="H18" s="11">
        <v>133.89798841626705</v>
      </c>
      <c r="I18" s="14">
        <v>0</v>
      </c>
      <c r="J18" s="8">
        <v>2020</v>
      </c>
    </row>
    <row r="19" spans="1:10" x14ac:dyDescent="0.35">
      <c r="A19" s="7">
        <v>16</v>
      </c>
      <c r="B19" s="8">
        <v>527201</v>
      </c>
      <c r="C19" s="9" t="s">
        <v>11</v>
      </c>
      <c r="D19" s="10">
        <v>30196</v>
      </c>
      <c r="E19" s="8">
        <v>16</v>
      </c>
      <c r="F19" s="11">
        <v>0</v>
      </c>
      <c r="G19" s="11" t="s">
        <v>12</v>
      </c>
      <c r="H19" s="11">
        <v>52.987150615975629</v>
      </c>
      <c r="I19" s="14">
        <v>0</v>
      </c>
      <c r="J19" s="8">
        <v>2021</v>
      </c>
    </row>
    <row r="20" spans="1:10" x14ac:dyDescent="0.35">
      <c r="A20" s="7">
        <v>17</v>
      </c>
      <c r="B20" s="8">
        <v>527202</v>
      </c>
      <c r="C20" s="9" t="s">
        <v>14</v>
      </c>
      <c r="D20" s="10">
        <v>18830</v>
      </c>
      <c r="E20" s="8">
        <v>7</v>
      </c>
      <c r="F20" s="11">
        <v>1</v>
      </c>
      <c r="G20" s="11" t="s">
        <v>12</v>
      </c>
      <c r="H20" s="11">
        <v>37.174721189591075</v>
      </c>
      <c r="I20" s="14">
        <v>14.285714285714285</v>
      </c>
      <c r="J20" s="8">
        <v>2021</v>
      </c>
    </row>
    <row r="21" spans="1:10" x14ac:dyDescent="0.35">
      <c r="A21" s="7">
        <v>18</v>
      </c>
      <c r="B21" s="8">
        <v>527203</v>
      </c>
      <c r="C21" s="9" t="s">
        <v>16</v>
      </c>
      <c r="D21" s="10">
        <v>34477</v>
      </c>
      <c r="E21" s="8">
        <v>36</v>
      </c>
      <c r="F21" s="11">
        <v>0</v>
      </c>
      <c r="G21" s="11" t="s">
        <v>12</v>
      </c>
      <c r="H21" s="11">
        <v>104.41743771209791</v>
      </c>
      <c r="I21" s="14">
        <v>0</v>
      </c>
      <c r="J21" s="8">
        <v>2021</v>
      </c>
    </row>
    <row r="22" spans="1:10" x14ac:dyDescent="0.35">
      <c r="A22" s="7">
        <v>19</v>
      </c>
      <c r="B22" s="8">
        <v>527204</v>
      </c>
      <c r="C22" s="9" t="s">
        <v>18</v>
      </c>
      <c r="D22" s="10">
        <v>39310</v>
      </c>
      <c r="E22" s="8">
        <v>39</v>
      </c>
      <c r="F22" s="11">
        <v>0</v>
      </c>
      <c r="G22" s="11" t="s">
        <v>12</v>
      </c>
      <c r="H22" s="11">
        <v>99.211396591198167</v>
      </c>
      <c r="I22" s="14">
        <v>0</v>
      </c>
      <c r="J22" s="8">
        <v>2021</v>
      </c>
    </row>
    <row r="23" spans="1:10" x14ac:dyDescent="0.35">
      <c r="A23" s="7">
        <v>20</v>
      </c>
      <c r="B23" s="8">
        <v>527205</v>
      </c>
      <c r="C23" s="9" t="s">
        <v>20</v>
      </c>
      <c r="D23" s="10">
        <v>32706</v>
      </c>
      <c r="E23" s="8">
        <v>37</v>
      </c>
      <c r="F23" s="11">
        <v>0</v>
      </c>
      <c r="G23" s="11" t="s">
        <v>12</v>
      </c>
      <c r="H23" s="11">
        <v>113.12908946370696</v>
      </c>
      <c r="I23" s="14">
        <v>0</v>
      </c>
      <c r="J23" s="8">
        <v>2021</v>
      </c>
    </row>
    <row r="24" spans="1:10" x14ac:dyDescent="0.35">
      <c r="A24" s="7">
        <v>21</v>
      </c>
      <c r="B24" s="8">
        <v>527201</v>
      </c>
      <c r="C24" s="9" t="s">
        <v>11</v>
      </c>
      <c r="D24" s="10">
        <v>30128</v>
      </c>
      <c r="E24" s="8">
        <v>33</v>
      </c>
      <c r="F24" s="11">
        <v>0</v>
      </c>
      <c r="G24" s="11" t="s">
        <v>12</v>
      </c>
      <c r="H24" s="12">
        <v>109.53</v>
      </c>
      <c r="I24" s="14">
        <v>0</v>
      </c>
      <c r="J24" s="8">
        <v>2022</v>
      </c>
    </row>
    <row r="25" spans="1:10" x14ac:dyDescent="0.35">
      <c r="A25" s="7">
        <v>22</v>
      </c>
      <c r="B25" s="8">
        <v>527202</v>
      </c>
      <c r="C25" s="9" t="s">
        <v>14</v>
      </c>
      <c r="D25" s="10">
        <v>19184</v>
      </c>
      <c r="E25" s="8">
        <v>14</v>
      </c>
      <c r="F25" s="11">
        <v>1</v>
      </c>
      <c r="G25" s="11" t="s">
        <v>12</v>
      </c>
      <c r="H25" s="12">
        <v>72.98</v>
      </c>
      <c r="I25" s="14">
        <v>7.1428571428571423</v>
      </c>
      <c r="J25" s="8">
        <v>2022</v>
      </c>
    </row>
    <row r="26" spans="1:10" x14ac:dyDescent="0.35">
      <c r="A26" s="7">
        <v>23</v>
      </c>
      <c r="B26" s="8">
        <v>527203</v>
      </c>
      <c r="C26" s="9" t="s">
        <v>16</v>
      </c>
      <c r="D26" s="10">
        <v>35388</v>
      </c>
      <c r="E26" s="8">
        <v>92</v>
      </c>
      <c r="F26" s="11">
        <v>0</v>
      </c>
      <c r="G26" s="11" t="s">
        <v>12</v>
      </c>
      <c r="H26" s="12">
        <v>259.98</v>
      </c>
      <c r="I26" s="14">
        <v>0</v>
      </c>
      <c r="J26" s="8">
        <v>2022</v>
      </c>
    </row>
    <row r="27" spans="1:10" x14ac:dyDescent="0.35">
      <c r="A27" s="7">
        <v>24</v>
      </c>
      <c r="B27" s="8">
        <v>527204</v>
      </c>
      <c r="C27" s="9" t="s">
        <v>18</v>
      </c>
      <c r="D27" s="10">
        <v>39786</v>
      </c>
      <c r="E27" s="8">
        <v>40</v>
      </c>
      <c r="F27" s="11">
        <v>0</v>
      </c>
      <c r="G27" s="11" t="s">
        <v>12</v>
      </c>
      <c r="H27" s="12">
        <v>100.54</v>
      </c>
      <c r="I27" s="14">
        <v>0</v>
      </c>
      <c r="J27" s="8">
        <v>2022</v>
      </c>
    </row>
    <row r="28" spans="1:10" x14ac:dyDescent="0.35">
      <c r="A28" s="7">
        <v>25</v>
      </c>
      <c r="B28" s="8">
        <v>527205</v>
      </c>
      <c r="C28" s="9" t="s">
        <v>20</v>
      </c>
      <c r="D28" s="10">
        <v>33365</v>
      </c>
      <c r="E28" s="8">
        <v>51</v>
      </c>
      <c r="F28" s="11">
        <v>0</v>
      </c>
      <c r="G28" s="11" t="s">
        <v>12</v>
      </c>
      <c r="H28" s="12">
        <v>152.85</v>
      </c>
      <c r="I28" s="14">
        <v>0</v>
      </c>
      <c r="J28" s="8">
        <v>2022</v>
      </c>
    </row>
    <row r="29" spans="1:10" x14ac:dyDescent="0.35">
      <c r="A29" s="7">
        <v>26</v>
      </c>
      <c r="B29" s="8">
        <v>527201</v>
      </c>
      <c r="C29" s="9" t="s">
        <v>11</v>
      </c>
      <c r="D29" s="10">
        <v>30611</v>
      </c>
      <c r="E29" s="8">
        <v>57</v>
      </c>
      <c r="F29" s="11">
        <v>2</v>
      </c>
      <c r="G29" s="11" t="s">
        <v>12</v>
      </c>
      <c r="H29" s="12">
        <v>186.21</v>
      </c>
      <c r="I29" s="14">
        <v>3.5087719298245612</v>
      </c>
      <c r="J29" s="8">
        <v>2023</v>
      </c>
    </row>
    <row r="30" spans="1:10" x14ac:dyDescent="0.35">
      <c r="A30" s="7">
        <v>27</v>
      </c>
      <c r="B30" s="8">
        <v>527202</v>
      </c>
      <c r="C30" s="9" t="s">
        <v>14</v>
      </c>
      <c r="D30" s="10">
        <v>19833</v>
      </c>
      <c r="E30" s="8">
        <v>17</v>
      </c>
      <c r="F30" s="11">
        <v>0</v>
      </c>
      <c r="G30" s="11" t="s">
        <v>12</v>
      </c>
      <c r="H30" s="12">
        <v>85.72</v>
      </c>
      <c r="I30" s="14">
        <v>0</v>
      </c>
      <c r="J30" s="8">
        <v>2023</v>
      </c>
    </row>
    <row r="31" spans="1:10" x14ac:dyDescent="0.35">
      <c r="A31" s="7">
        <v>28</v>
      </c>
      <c r="B31" s="8">
        <v>527203</v>
      </c>
      <c r="C31" s="9" t="s">
        <v>16</v>
      </c>
      <c r="D31" s="10">
        <v>36667</v>
      </c>
      <c r="E31" s="8">
        <v>87</v>
      </c>
      <c r="F31" s="11">
        <v>0</v>
      </c>
      <c r="G31" s="11" t="s">
        <v>12</v>
      </c>
      <c r="H31" s="12">
        <v>237.27</v>
      </c>
      <c r="I31" s="14">
        <v>0</v>
      </c>
      <c r="J31" s="8">
        <v>2023</v>
      </c>
    </row>
    <row r="32" spans="1:10" x14ac:dyDescent="0.35">
      <c r="A32" s="7">
        <v>29</v>
      </c>
      <c r="B32" s="8">
        <v>527204</v>
      </c>
      <c r="C32" s="9" t="s">
        <v>18</v>
      </c>
      <c r="D32" s="10">
        <v>40416</v>
      </c>
      <c r="E32" s="8">
        <v>59</v>
      </c>
      <c r="F32" s="11">
        <v>0</v>
      </c>
      <c r="G32" s="11" t="s">
        <v>12</v>
      </c>
      <c r="H32" s="12">
        <v>145.97999999999999</v>
      </c>
      <c r="I32" s="14">
        <v>0</v>
      </c>
      <c r="J32" s="8">
        <v>2023</v>
      </c>
    </row>
    <row r="33" spans="1:10" x14ac:dyDescent="0.35">
      <c r="A33" s="7">
        <v>30</v>
      </c>
      <c r="B33" s="8">
        <v>527205</v>
      </c>
      <c r="C33" s="9" t="s">
        <v>20</v>
      </c>
      <c r="D33" s="10">
        <v>34050</v>
      </c>
      <c r="E33" s="8">
        <v>52</v>
      </c>
      <c r="F33" s="11">
        <v>0</v>
      </c>
      <c r="G33" s="11" t="s">
        <v>12</v>
      </c>
      <c r="H33" s="12">
        <v>152.72</v>
      </c>
      <c r="I33" s="14">
        <v>0</v>
      </c>
      <c r="J33" s="8">
        <v>2023</v>
      </c>
    </row>
    <row r="34" spans="1:10" x14ac:dyDescent="0.35">
      <c r="A34" s="7">
        <v>31</v>
      </c>
      <c r="B34" s="8">
        <v>527201</v>
      </c>
      <c r="C34" s="9" t="s">
        <v>11</v>
      </c>
      <c r="D34" s="15">
        <v>31299</v>
      </c>
      <c r="E34" s="8">
        <v>10</v>
      </c>
      <c r="F34" s="11">
        <v>0</v>
      </c>
      <c r="G34" s="11" t="s">
        <v>12</v>
      </c>
      <c r="H34" s="12">
        <v>31.95</v>
      </c>
      <c r="I34" s="14">
        <v>0</v>
      </c>
      <c r="J34" s="8">
        <v>2024</v>
      </c>
    </row>
    <row r="35" spans="1:10" x14ac:dyDescent="0.35">
      <c r="A35" s="7">
        <v>32</v>
      </c>
      <c r="B35" s="8">
        <v>527202</v>
      </c>
      <c r="C35" s="9" t="s">
        <v>14</v>
      </c>
      <c r="D35" s="15">
        <v>18392</v>
      </c>
      <c r="E35" s="8">
        <v>16</v>
      </c>
      <c r="F35" s="11">
        <v>1</v>
      </c>
      <c r="G35" s="11" t="s">
        <v>12</v>
      </c>
      <c r="H35" s="12">
        <v>86.99</v>
      </c>
      <c r="I35" s="14">
        <v>6.25</v>
      </c>
      <c r="J35" s="8">
        <v>2024</v>
      </c>
    </row>
    <row r="36" spans="1:10" x14ac:dyDescent="0.35">
      <c r="A36" s="7">
        <v>33</v>
      </c>
      <c r="B36" s="8">
        <v>527203</v>
      </c>
      <c r="C36" s="9" t="s">
        <v>16</v>
      </c>
      <c r="D36" s="15">
        <v>37251</v>
      </c>
      <c r="E36" s="8">
        <v>33</v>
      </c>
      <c r="F36" s="11">
        <v>0</v>
      </c>
      <c r="G36" s="11" t="s">
        <v>12</v>
      </c>
      <c r="H36" s="12">
        <v>88.59</v>
      </c>
      <c r="I36" s="14">
        <v>0</v>
      </c>
      <c r="J36" s="8">
        <v>2024</v>
      </c>
    </row>
    <row r="37" spans="1:10" x14ac:dyDescent="0.35">
      <c r="A37" s="7">
        <v>34</v>
      </c>
      <c r="B37" s="8">
        <v>527204</v>
      </c>
      <c r="C37" s="9" t="s">
        <v>18</v>
      </c>
      <c r="D37" s="15">
        <v>42176</v>
      </c>
      <c r="E37" s="8">
        <v>7</v>
      </c>
      <c r="F37" s="11">
        <v>0</v>
      </c>
      <c r="G37" s="11" t="s">
        <v>12</v>
      </c>
      <c r="H37" s="12">
        <v>16.600000000000001</v>
      </c>
      <c r="I37" s="14">
        <v>0</v>
      </c>
      <c r="J37" s="8">
        <v>2024</v>
      </c>
    </row>
    <row r="38" spans="1:10" x14ac:dyDescent="0.35">
      <c r="A38" s="7">
        <v>35</v>
      </c>
      <c r="B38" s="16">
        <v>527205</v>
      </c>
      <c r="C38" s="17" t="s">
        <v>20</v>
      </c>
      <c r="D38" s="18">
        <v>34486</v>
      </c>
      <c r="E38" s="16">
        <v>17</v>
      </c>
      <c r="F38" s="19">
        <v>0</v>
      </c>
      <c r="G38" s="19" t="s">
        <v>12</v>
      </c>
      <c r="H38" s="20">
        <v>49.3</v>
      </c>
      <c r="I38" s="21">
        <v>0</v>
      </c>
      <c r="J38" s="16">
        <v>2024</v>
      </c>
    </row>
    <row r="39" spans="1:10" x14ac:dyDescent="0.35">
      <c r="A39" s="22" t="s">
        <v>21</v>
      </c>
      <c r="B39" s="7"/>
      <c r="C39" s="23"/>
      <c r="D39" s="24"/>
      <c r="E39" s="7"/>
      <c r="F39" s="25"/>
      <c r="G39" s="25"/>
      <c r="H39" s="26"/>
      <c r="I39" s="26"/>
      <c r="J3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 Rahmawati</dc:creator>
  <cp:lastModifiedBy>Devi Rahmawati</cp:lastModifiedBy>
  <dcterms:created xsi:type="dcterms:W3CDTF">2026-02-03T10:17:57Z</dcterms:created>
  <dcterms:modified xsi:type="dcterms:W3CDTF">2026-02-03T10:53:26Z</dcterms:modified>
</cp:coreProperties>
</file>